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チェックリスト" sheetId="2" state="visible" r:id="rId4"/>
    <sheet name="比較シート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<sst xmlns="http://schemas.openxmlformats.org/spreadsheetml/2006/main" count="205" uniqueCount="147">
  <si>
    <t xml:space="preserve">都道府県データ比較チェックシート</t>
  </si>
  <si>
    <r>
      <rPr>
        <sz val="10"/>
        <color rgb="FF666666"/>
        <rFont val="Noto Sans CJK SC"/>
        <family val="2"/>
      </rPr>
      <t xml:space="preserve">データみっけ（</t>
    </r>
    <r>
      <rPr>
        <sz val="10"/>
        <color rgb="FF666666"/>
        <rFont val="Yu Gothic"/>
        <family val="0"/>
        <charset val="1"/>
      </rPr>
      <t xml:space="preserve">https://data-mikke-lab.vercel.app</t>
    </r>
    <r>
      <rPr>
        <sz val="10"/>
        <color rgb="FF666666"/>
        <rFont val="Noto Sans CJK SC"/>
        <family val="2"/>
      </rPr>
      <t xml:space="preserve">）</t>
    </r>
  </si>
  <si>
    <t xml:space="preserve">このシートについて</t>
  </si>
  <si>
    <t xml:space="preserve">都道府県ごとの数字を比べるとき、順位だけで判断して誤解しないための確認表と、順位・平均・中央値・ばらつきを自動で計算する比較シートです。</t>
  </si>
  <si>
    <t xml:space="preserve">使い方（手順）</t>
  </si>
  <si>
    <r>
      <rPr>
        <sz val="11"/>
        <rFont val="Noto Sans CJK SC"/>
        <family val="2"/>
      </rPr>
      <t xml:space="preserve">① 「チェックリスト」で、データの出典・年次・単位・定義・分母などを確認し、判定欄を選ぶ。
② 「比較シート」の上部に、指標名・単位・出典・調査年を入力する。
③ 「比較シート」の黄色い列（</t>
    </r>
    <r>
      <rPr>
        <sz val="11"/>
        <rFont val="Yu Gothic"/>
        <family val="0"/>
        <charset val="1"/>
      </rPr>
      <t xml:space="preserve">D</t>
    </r>
    <r>
      <rPr>
        <sz val="11"/>
        <rFont val="Noto Sans CJK SC"/>
        <family val="2"/>
      </rPr>
      <t xml:space="preserve">列）に、</t>
    </r>
    <r>
      <rPr>
        <sz val="11"/>
        <rFont val="Yu Gothic"/>
        <family val="0"/>
        <charset val="1"/>
      </rPr>
      <t xml:space="preserve">47</t>
    </r>
    <r>
      <rPr>
        <sz val="11"/>
        <rFont val="Noto Sans CJK SC"/>
        <family val="2"/>
      </rPr>
      <t xml:space="preserve">都道府県の値を貼り付ける（空欄は、データがないことを表す。ゼロとは区別してください）。
④ 右側の集計と、</t>
    </r>
    <r>
      <rPr>
        <sz val="11"/>
        <rFont val="Yu Gothic"/>
        <family val="0"/>
        <charset val="1"/>
      </rPr>
      <t xml:space="preserve">E</t>
    </r>
    <r>
      <rPr>
        <sz val="11"/>
        <rFont val="Noto Sans CJK SC"/>
        <family val="2"/>
      </rPr>
      <t xml:space="preserve">〜</t>
    </r>
    <r>
      <rPr>
        <sz val="11"/>
        <rFont val="Yu Gothic"/>
        <family val="0"/>
        <charset val="1"/>
      </rPr>
      <t xml:space="preserve">G</t>
    </r>
    <r>
      <rPr>
        <sz val="11"/>
        <rFont val="Noto Sans CJK SC"/>
        <family val="2"/>
      </rPr>
      <t xml:space="preserve">列の順位・差を見て、結果を読む。</t>
    </r>
  </si>
  <si>
    <t xml:space="preserve">入力するセル</t>
  </si>
  <si>
    <t xml:space="preserve">黄色く塗られた、青い文字のセルが入力欄です。それ以外のセルは、数式なので、書き換えないでください。</t>
  </si>
  <si>
    <t xml:space="preserve">地方の区分</t>
  </si>
  <si>
    <t xml:space="preserve">北海道／東北（青森〜福島）／関東（茨城〜神奈川）／中部（新潟〜愛知）／近畿（三重〜和歌山）／中国／四国／九州・沖縄。当サイトの区分で、近畿に三重県、中部に新潟県〜愛知県を含みます。</t>
  </si>
  <si>
    <t xml:space="preserve">注意</t>
  </si>
  <si>
    <t xml:space="preserve">地方別の平均は、各県の値の単純平均で、人口などによる重みづけはしていません。順位は、同じ値のとき同順位になります。</t>
  </si>
  <si>
    <r>
      <rPr>
        <b val="true"/>
        <sz val="12"/>
        <rFont val="Noto Sans CJK SC"/>
        <family val="2"/>
      </rPr>
      <t xml:space="preserve">入力例（比較シート</t>
    </r>
    <r>
      <rPr>
        <b val="true"/>
        <sz val="12"/>
        <rFont val="Yu Gothic"/>
        <family val="0"/>
        <charset val="1"/>
      </rPr>
      <t xml:space="preserve">D</t>
    </r>
    <r>
      <rPr>
        <b val="true"/>
        <sz val="12"/>
        <rFont val="Noto Sans CJK SC"/>
        <family val="2"/>
      </rPr>
      <t xml:space="preserve">列の形式）</t>
    </r>
  </si>
  <si>
    <t xml:space="preserve">都道府県</t>
  </si>
  <si>
    <t xml:space="preserve">値（温泉地の数・か所）</t>
  </si>
  <si>
    <t xml:space="preserve">北海道</t>
  </si>
  <si>
    <t xml:space="preserve">長野県</t>
  </si>
  <si>
    <t xml:space="preserve">新潟県</t>
  </si>
  <si>
    <r>
      <rPr>
        <sz val="9"/>
        <color rgb="FF666666"/>
        <rFont val="Noto Sans CJK SC"/>
        <family val="2"/>
      </rPr>
      <t xml:space="preserve">出典</t>
    </r>
    <r>
      <rPr>
        <sz val="9"/>
        <color rgb="FF666666"/>
        <rFont val="Yu Gothic"/>
        <family val="0"/>
        <charset val="1"/>
      </rPr>
      <t xml:space="preserve">: </t>
    </r>
    <r>
      <rPr>
        <sz val="9"/>
        <color rgb="FF666666"/>
        <rFont val="Noto Sans CJK SC"/>
        <family val="2"/>
      </rPr>
      <t xml:space="preserve">環境省「令和</t>
    </r>
    <r>
      <rPr>
        <sz val="9"/>
        <color rgb="FF666666"/>
        <rFont val="Yu Gothic"/>
        <family val="0"/>
        <charset val="1"/>
      </rPr>
      <t xml:space="preserve">4</t>
    </r>
    <r>
      <rPr>
        <sz val="9"/>
        <color rgb="FF666666"/>
        <rFont val="Noto Sans CJK SC"/>
        <family val="2"/>
      </rPr>
      <t xml:space="preserve">年度温泉利用状況」（令和</t>
    </r>
    <r>
      <rPr>
        <sz val="9"/>
        <color rgb="FF666666"/>
        <rFont val="Yu Gothic"/>
        <family val="0"/>
        <charset val="1"/>
      </rPr>
      <t xml:space="preserve">5</t>
    </r>
    <r>
      <rPr>
        <sz val="9"/>
        <color rgb="FF666666"/>
        <rFont val="Noto Sans CJK SC"/>
        <family val="2"/>
      </rPr>
      <t xml:space="preserve">年</t>
    </r>
    <r>
      <rPr>
        <sz val="9"/>
        <color rgb="FF666666"/>
        <rFont val="Yu Gothic"/>
        <family val="0"/>
        <charset val="1"/>
      </rPr>
      <t xml:space="preserve">3</t>
    </r>
    <r>
      <rPr>
        <sz val="9"/>
        <color rgb="FF666666"/>
        <rFont val="Noto Sans CJK SC"/>
        <family val="2"/>
      </rPr>
      <t xml:space="preserve">月末現在）。当サイト掲載値。</t>
    </r>
  </si>
  <si>
    <t xml:space="preserve">免責</t>
  </si>
  <si>
    <t xml:space="preserve">このシートは、数字を読むときの確認用の道具です。集計結果は、入力した値にもとづく参考情報で、正確性を保証するものではありません。</t>
  </si>
  <si>
    <t xml:space="preserve">データ比較のチェックリスト</t>
  </si>
  <si>
    <r>
      <rPr>
        <sz val="10"/>
        <color rgb="FF666666"/>
        <rFont val="Noto Sans CJK SC"/>
        <family val="2"/>
      </rPr>
      <t xml:space="preserve">各項目を確認して、</t>
    </r>
    <r>
      <rPr>
        <sz val="10"/>
        <color rgb="FF666666"/>
        <rFont val="Yu Gothic"/>
        <family val="0"/>
        <charset val="1"/>
      </rPr>
      <t xml:space="preserve">E</t>
    </r>
    <r>
      <rPr>
        <sz val="10"/>
        <color rgb="FF666666"/>
        <rFont val="Noto Sans CJK SC"/>
        <family val="2"/>
      </rPr>
      <t xml:space="preserve">列で「</t>
    </r>
    <r>
      <rPr>
        <sz val="10"/>
        <color rgb="FF666666"/>
        <rFont val="Yu Gothic"/>
        <family val="0"/>
        <charset val="1"/>
      </rPr>
      <t xml:space="preserve">OK</t>
    </r>
    <r>
      <rPr>
        <sz val="10"/>
        <color rgb="FF666666"/>
        <rFont val="Noto Sans CJK SC"/>
        <family val="2"/>
      </rPr>
      <t xml:space="preserve">」「要確認」「該当なし」を選んでください。</t>
    </r>
  </si>
  <si>
    <t xml:space="preserve">No.</t>
  </si>
  <si>
    <t xml:space="preserve">確認する項目</t>
  </si>
  <si>
    <t xml:space="preserve">確認すること</t>
  </si>
  <si>
    <t xml:space="preserve">例</t>
  </si>
  <si>
    <t xml:space="preserve">判定</t>
  </si>
  <si>
    <t xml:space="preserve">メモ</t>
  </si>
  <si>
    <t xml:space="preserve">出典</t>
  </si>
  <si>
    <t xml:space="preserve">公的機関などの信頼できる出典か。名称・公表年を記録したか。</t>
  </si>
  <si>
    <r>
      <rPr>
        <sz val="11"/>
        <rFont val="Noto Sans CJK SC"/>
        <family val="2"/>
      </rPr>
      <t xml:space="preserve">総務省統計局「小売物価統計調査」</t>
    </r>
    <r>
      <rPr>
        <sz val="11"/>
        <rFont val="Yu Gothic"/>
        <family val="0"/>
        <charset val="1"/>
      </rPr>
      <t xml:space="preserve">2025</t>
    </r>
    <r>
      <rPr>
        <sz val="11"/>
        <rFont val="Noto Sans CJK SC"/>
        <family val="2"/>
      </rPr>
      <t xml:space="preserve">年</t>
    </r>
  </si>
  <si>
    <t xml:space="preserve">調査年・時点</t>
  </si>
  <si>
    <t xml:space="preserve">比べる都道府県が、すべて同じ年・同じ時点の値か。</t>
  </si>
  <si>
    <r>
      <rPr>
        <sz val="11"/>
        <rFont val="Noto Sans CJK SC"/>
        <family val="2"/>
      </rPr>
      <t xml:space="preserve">人口は</t>
    </r>
    <r>
      <rPr>
        <sz val="11"/>
        <rFont val="Yu Gothic"/>
        <family val="0"/>
        <charset val="1"/>
      </rPr>
      <t xml:space="preserve">2020</t>
    </r>
    <r>
      <rPr>
        <sz val="11"/>
        <rFont val="Noto Sans CJK SC"/>
        <family val="2"/>
      </rPr>
      <t xml:space="preserve">年、所得は</t>
    </r>
    <r>
      <rPr>
        <sz val="11"/>
        <rFont val="Yu Gothic"/>
        <family val="0"/>
        <charset val="1"/>
      </rPr>
      <t xml:space="preserve">2022</t>
    </r>
    <r>
      <rPr>
        <sz val="11"/>
        <rFont val="Noto Sans CJK SC"/>
        <family val="2"/>
      </rPr>
      <t xml:space="preserve">年度（年がずれている）</t>
    </r>
  </si>
  <si>
    <t xml:space="preserve">単位</t>
  </si>
  <si>
    <r>
      <rPr>
        <sz val="11"/>
        <rFont val="Noto Sans CJK SC"/>
        <family val="2"/>
      </rPr>
      <t xml:space="preserve">単位がそろっているか。円・</t>
    </r>
    <r>
      <rPr>
        <sz val="11"/>
        <rFont val="Yu Gothic"/>
        <family val="0"/>
        <charset val="1"/>
      </rPr>
      <t xml:space="preserve">%</t>
    </r>
    <r>
      <rPr>
        <sz val="11"/>
        <rFont val="Noto Sans CJK SC"/>
        <family val="2"/>
      </rPr>
      <t xml:space="preserve">・人</t>
    </r>
    <r>
      <rPr>
        <sz val="11"/>
        <rFont val="Yu Gothic"/>
        <family val="0"/>
        <charset val="1"/>
      </rPr>
      <t xml:space="preserve">/km²</t>
    </r>
    <r>
      <rPr>
        <sz val="11"/>
        <rFont val="Noto Sans CJK SC"/>
        <family val="2"/>
      </rPr>
      <t xml:space="preserve">・人</t>
    </r>
    <r>
      <rPr>
        <sz val="11"/>
        <rFont val="Yu Gothic"/>
        <family val="0"/>
        <charset val="1"/>
      </rPr>
      <t xml:space="preserve">/10</t>
    </r>
    <r>
      <rPr>
        <sz val="11"/>
        <rFont val="Noto Sans CJK SC"/>
        <family val="2"/>
      </rPr>
      <t xml:space="preserve">万人など、桁の取り違えがないか。</t>
    </r>
  </si>
  <si>
    <t xml:space="preserve">「円」と「千円」が混在していないか</t>
  </si>
  <si>
    <t xml:space="preserve">定義</t>
  </si>
  <si>
    <t xml:space="preserve">何を数えた数字か。似た言葉でも、統計上の定義が違わないか。</t>
  </si>
  <si>
    <t xml:space="preserve">県民所得と、個人の給与収入は別の統計</t>
  </si>
  <si>
    <t xml:space="preserve">分母</t>
  </si>
  <si>
    <t xml:space="preserve">実数か、割合か。人口あたり・面積あたりの分母は何か。</t>
  </si>
  <si>
    <t xml:space="preserve">件数は人口や面積の大きさに左右される</t>
  </si>
  <si>
    <t xml:space="preserve">調査の範囲</t>
  </si>
  <si>
    <t xml:space="preserve">県全体か、県庁所在市などの一部か。標本調査か、全数調査か。</t>
  </si>
  <si>
    <t xml:space="preserve">価格は県庁所在市等の調査店舗の平均</t>
  </si>
  <si>
    <t xml:space="preserve">欠損値</t>
  </si>
  <si>
    <t xml:space="preserve">空欄（データなし）と、ゼロ（実績がゼロ）を区別したか。</t>
  </si>
  <si>
    <t xml:space="preserve">空欄をゼロとして平均に入れていないか</t>
  </si>
  <si>
    <t xml:space="preserve">外れ値</t>
  </si>
  <si>
    <t xml:space="preserve">極端な値は、単位の取り違えか、正当な地域差かを確認したか。除外した場合は理由を書いたか。</t>
  </si>
  <si>
    <t xml:space="preserve">北海道の生乳生産量は、誤りではなく地域の特徴</t>
  </si>
  <si>
    <t xml:space="preserve">平均と中央値</t>
  </si>
  <si>
    <t xml:space="preserve">平均だけでなく、中央値も見たか。差が大きいときは、分布の偏りを疑ったか。</t>
  </si>
  <si>
    <t xml:space="preserve">一部の高い県が、平均を押し上げていないか</t>
  </si>
  <si>
    <t xml:space="preserve">地域の区分</t>
  </si>
  <si>
    <t xml:space="preserve">地方などの区分の定義を、そろえているか。</t>
  </si>
  <si>
    <t xml:space="preserve">近畿に三重県を含めるか</t>
  </si>
  <si>
    <t xml:space="preserve">相関と因果</t>
  </si>
  <si>
    <t xml:space="preserve">相関があっても、原因と結果とは限らないことを踏まえたか。多数の指標から選んだ場合の偶然も考えたか。</t>
  </si>
  <si>
    <t xml:space="preserve">寒い県ほど塩分が多い、は気温が原因とは限らない</t>
  </si>
  <si>
    <t xml:space="preserve">解釈の限界</t>
  </si>
  <si>
    <t xml:space="preserve">この数字だけでは何が分からないかを書いたか。県の平均を、個人にそのまま当てはめていないか。</t>
  </si>
  <si>
    <t xml:space="preserve">平均寿命と生活習慣の関係を、個人の健康に当てはめない</t>
  </si>
  <si>
    <t xml:space="preserve">集計</t>
  </si>
  <si>
    <t xml:space="preserve">OK</t>
  </si>
  <si>
    <t xml:space="preserve">要確認</t>
  </si>
  <si>
    <t xml:space="preserve">該当なし</t>
  </si>
  <si>
    <t xml:space="preserve">未入力</t>
  </si>
  <si>
    <t xml:space="preserve">都道府県の比較シート</t>
  </si>
  <si>
    <t xml:space="preserve">集計（自動計算）</t>
  </si>
  <si>
    <t xml:space="preserve">指標名</t>
  </si>
  <si>
    <t xml:space="preserve">入力された県数</t>
  </si>
  <si>
    <t xml:space="preserve">平均</t>
  </si>
  <si>
    <t xml:space="preserve">中央値</t>
  </si>
  <si>
    <t xml:space="preserve">最大の値</t>
  </si>
  <si>
    <t xml:space="preserve">最大の県</t>
  </si>
  <si>
    <t xml:space="preserve">コード</t>
  </si>
  <si>
    <t xml:space="preserve">地方</t>
  </si>
  <si>
    <t xml:space="preserve">値（入力）</t>
  </si>
  <si>
    <t xml:space="preserve">順位（大きい順）</t>
  </si>
  <si>
    <t xml:space="preserve">順位（小さい順）</t>
  </si>
  <si>
    <t xml:space="preserve">平均との差</t>
  </si>
  <si>
    <t xml:space="preserve">最小の値</t>
  </si>
  <si>
    <t xml:space="preserve">最小の県</t>
  </si>
  <si>
    <t xml:space="preserve">青森県</t>
  </si>
  <si>
    <t xml:space="preserve">東北</t>
  </si>
  <si>
    <r>
      <rPr>
        <sz val="11"/>
        <rFont val="Noto Sans CJK SC"/>
        <family val="2"/>
      </rPr>
      <t xml:space="preserve">最大 </t>
    </r>
    <r>
      <rPr>
        <sz val="11"/>
        <rFont val="Yu Gothic"/>
        <family val="0"/>
        <charset val="1"/>
      </rPr>
      <t xml:space="preserve">÷ </t>
    </r>
    <r>
      <rPr>
        <sz val="11"/>
        <rFont val="Noto Sans CJK SC"/>
        <family val="2"/>
      </rPr>
      <t xml:space="preserve">最小（倍）</t>
    </r>
  </si>
  <si>
    <t xml:space="preserve">岩手県</t>
  </si>
  <si>
    <t xml:space="preserve">標準偏差</t>
  </si>
  <si>
    <t xml:space="preserve">宮城県</t>
  </si>
  <si>
    <r>
      <rPr>
        <sz val="11"/>
        <rFont val="Noto Sans CJK SC"/>
        <family val="2"/>
      </rPr>
      <t xml:space="preserve">変動係数（標準偏差</t>
    </r>
    <r>
      <rPr>
        <sz val="11"/>
        <rFont val="Yu Gothic"/>
        <family val="0"/>
        <charset val="1"/>
      </rPr>
      <t xml:space="preserve">÷</t>
    </r>
    <r>
      <rPr>
        <sz val="11"/>
        <rFont val="Noto Sans CJK SC"/>
        <family val="2"/>
      </rPr>
      <t xml:space="preserve">平均）</t>
    </r>
  </si>
  <si>
    <t xml:space="preserve">秋田県</t>
  </si>
  <si>
    <t xml:space="preserve">分布の判定</t>
  </si>
  <si>
    <t xml:space="preserve">山形県</t>
  </si>
  <si>
    <t xml:space="preserve">福島県</t>
  </si>
  <si>
    <t xml:space="preserve">茨城県</t>
  </si>
  <si>
    <t xml:space="preserve">関東</t>
  </si>
  <si>
    <t xml:space="preserve">地方別の単純平均</t>
  </si>
  <si>
    <t xml:space="preserve">栃木県</t>
  </si>
  <si>
    <t xml:space="preserve">県数</t>
  </si>
  <si>
    <t xml:space="preserve">群馬県</t>
  </si>
  <si>
    <t xml:space="preserve">埼玉県</t>
  </si>
  <si>
    <t xml:space="preserve">千葉県</t>
  </si>
  <si>
    <t xml:space="preserve">東京都</t>
  </si>
  <si>
    <t xml:space="preserve">中部</t>
  </si>
  <si>
    <t xml:space="preserve">神奈川県</t>
  </si>
  <si>
    <t xml:space="preserve">近畿</t>
  </si>
  <si>
    <t xml:space="preserve">中国</t>
  </si>
  <si>
    <t xml:space="preserve">富山県</t>
  </si>
  <si>
    <t xml:space="preserve">四国</t>
  </si>
  <si>
    <t xml:space="preserve">石川県</t>
  </si>
  <si>
    <t xml:space="preserve">九州・沖縄</t>
  </si>
  <si>
    <t xml:space="preserve">福井県</t>
  </si>
  <si>
    <t xml:space="preserve">山梨県</t>
  </si>
  <si>
    <t xml:space="preserve">最も大きい地方</t>
  </si>
  <si>
    <t xml:space="preserve">最も小さい地方</t>
  </si>
  <si>
    <t xml:space="preserve">岐阜県</t>
  </si>
  <si>
    <t xml:space="preserve">静岡県</t>
  </si>
  <si>
    <t xml:space="preserve">※ 地方別の平均は、各県の値の単純平均です（人口の重みづけはしていません）。</t>
  </si>
  <si>
    <t xml:space="preserve">愛知県</t>
  </si>
  <si>
    <t xml:space="preserve">※ 平均と中央値、最大と最小の県は、外れ値の確認にも使えます。</t>
  </si>
  <si>
    <t xml:space="preserve">三重県</t>
  </si>
  <si>
    <t xml:space="preserve">滋賀県</t>
  </si>
  <si>
    <t xml:space="preserve">京都府</t>
  </si>
  <si>
    <t xml:space="preserve">大阪府</t>
  </si>
  <si>
    <t xml:space="preserve">兵庫県</t>
  </si>
  <si>
    <t xml:space="preserve">奈良県</t>
  </si>
  <si>
    <t xml:space="preserve">和歌山県</t>
  </si>
  <si>
    <t xml:space="preserve">鳥取県</t>
  </si>
  <si>
    <t xml:space="preserve">島根県</t>
  </si>
  <si>
    <t xml:space="preserve">岡山県</t>
  </si>
  <si>
    <t xml:space="preserve">広島県</t>
  </si>
  <si>
    <t xml:space="preserve">山口県</t>
  </si>
  <si>
    <t xml:space="preserve">徳島県</t>
  </si>
  <si>
    <t xml:space="preserve">香川県</t>
  </si>
  <si>
    <t xml:space="preserve">愛媛県</t>
  </si>
  <si>
    <t xml:space="preserve">高知県</t>
  </si>
  <si>
    <t xml:space="preserve">福岡県</t>
  </si>
  <si>
    <t xml:space="preserve">佐賀県</t>
  </si>
  <si>
    <t xml:space="preserve">長崎県</t>
  </si>
  <si>
    <t xml:space="preserve">熊本県</t>
  </si>
  <si>
    <t xml:space="preserve">大分県</t>
  </si>
  <si>
    <t xml:space="preserve">宮崎県</t>
  </si>
  <si>
    <t xml:space="preserve">鹿児島県</t>
  </si>
  <si>
    <t xml:space="preserve">沖縄県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</si>
</sst>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"/>
    <numFmt numFmtId="167" formatCode="#,##0.00"/>
    <numFmt numFmtId="168" formatCode="#,##0.00;\-#,##0.00;0.00"/>
    <numFmt numFmtId="169" formatCode="0.00"/>
    <numFmt numFmtId="170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</font>
    <font>
      <sz val="10"/>
      <color rgb="FF666666"/>
      <name val="Noto Sans CJK SC"/>
      <family val="2"/>
    </font>
    <font>
      <sz val="10"/>
      <color rgb="FF666666"/>
      <name val="Yu Gothic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Yu Gothic"/>
      <family val="0"/>
      <charset val="1"/>
    </font>
    <font>
      <b val="true"/>
      <sz val="12"/>
      <name val="Noto Sans CJK SC"/>
      <family val="2"/>
    </font>
    <font>
      <b val="true"/>
      <sz val="12"/>
      <name val="Yu Gothic"/>
      <family val="0"/>
      <charset val="1"/>
    </font>
    <font>
      <b val="true"/>
      <sz val="11"/>
      <color rgb="FFFFFFFF"/>
      <name val="Noto Sans CJK SC"/>
      <family val="2"/>
    </font>
    <font>
      <sz val="11"/>
      <color rgb="FF0000FF"/>
      <name val="Yu Gothic"/>
      <family val="0"/>
      <charset val="1"/>
    </font>
    <font>
      <sz val="9"/>
      <color rgb="FF666666"/>
      <name val="Noto Sans CJK SC"/>
      <family val="2"/>
    </font>
    <font>
      <sz val="9"/>
      <color rgb="FF666666"/>
      <name val="Yu Gothic"/>
      <family val="0"/>
      <charset val="1"/>
    </font>
    <font>
      <b val="true"/>
      <sz val="14"/>
      <name val="Noto Sans CJK SC"/>
      <family val="2"/>
    </font>
    <font>
      <b val="true"/>
      <sz val="11"/>
      <color rgb="FFFFFFFF"/>
      <name val="Yu Gothi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3B33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rgb="FFEEF3E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EF3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3B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7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6" hidden="false" customHeight="true" outlineLevel="0" collapsed="false">
      <c r="B5" s="3" t="s">
        <v>2</v>
      </c>
      <c r="C5" s="4" t="s">
        <v>3</v>
      </c>
    </row>
    <row r="6" customFormat="false" ht="108" hidden="false" customHeight="true" outlineLevel="0" collapsed="false">
      <c r="B6" s="3" t="s">
        <v>4</v>
      </c>
      <c r="C6" s="4" t="s">
        <v>5</v>
      </c>
    </row>
    <row r="7" customFormat="false" ht="30" hidden="false" customHeight="true" outlineLevel="0" collapsed="false">
      <c r="B7" s="3" t="s">
        <v>6</v>
      </c>
      <c r="C7" s="4" t="s">
        <v>7</v>
      </c>
    </row>
    <row r="8" customFormat="false" ht="36" hidden="false" customHeight="true" outlineLevel="0" collapsed="false">
      <c r="B8" s="3" t="s">
        <v>8</v>
      </c>
      <c r="C8" s="4" t="s">
        <v>9</v>
      </c>
    </row>
    <row r="9" customFormat="false" ht="30" hidden="false" customHeight="true" outlineLevel="0" collapsed="false">
      <c r="B9" s="3" t="s">
        <v>10</v>
      </c>
      <c r="C9" s="4" t="s">
        <v>11</v>
      </c>
    </row>
    <row r="11" customFormat="false" ht="19.4" hidden="false" customHeight="false" outlineLevel="0" collapsed="false">
      <c r="B11" s="5" t="s">
        <v>12</v>
      </c>
    </row>
    <row r="12" customFormat="false" ht="15" hidden="false" customHeight="false" outlineLevel="0" collapsed="false">
      <c r="B12" s="6" t="s">
        <v>13</v>
      </c>
      <c r="C12" s="6" t="s">
        <v>14</v>
      </c>
    </row>
    <row r="13" customFormat="false" ht="15" hidden="false" customHeight="false" outlineLevel="0" collapsed="false">
      <c r="B13" s="7" t="s">
        <v>15</v>
      </c>
      <c r="C13" s="8" t="n">
        <v>230</v>
      </c>
    </row>
    <row r="14" customFormat="false" ht="15" hidden="false" customHeight="false" outlineLevel="0" collapsed="false">
      <c r="B14" s="7" t="s">
        <v>16</v>
      </c>
      <c r="C14" s="8" t="n">
        <v>194</v>
      </c>
    </row>
    <row r="15" customFormat="false" ht="15" hidden="false" customHeight="false" outlineLevel="0" collapsed="false">
      <c r="B15" s="7" t="s">
        <v>17</v>
      </c>
      <c r="C15" s="8" t="n">
        <v>142</v>
      </c>
    </row>
    <row r="16" customFormat="false" ht="15" hidden="false" customHeight="false" outlineLevel="0" collapsed="false">
      <c r="B16" s="9" t="s">
        <v>18</v>
      </c>
    </row>
    <row r="18" customFormat="false" ht="33.75" hidden="false" customHeight="true" outlineLevel="0" collapsed="false">
      <c r="B18" s="10" t="s">
        <v>19</v>
      </c>
      <c r="C18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52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1" t="s">
        <v>21</v>
      </c>
    </row>
    <row r="2" customFormat="false" ht="15" hidden="false" customHeight="false" outlineLevel="0" collapsed="false">
      <c r="A2" s="2" t="s">
        <v>22</v>
      </c>
    </row>
    <row r="3" customFormat="false" ht="17.15" hidden="false" customHeight="false" outlineLevel="0" collapsed="false">
      <c r="A3" s="12" t="s">
        <v>23</v>
      </c>
      <c r="B3" s="13" t="s">
        <v>24</v>
      </c>
      <c r="C3" s="13" t="s">
        <v>25</v>
      </c>
      <c r="D3" s="13" t="s">
        <v>26</v>
      </c>
      <c r="E3" s="13" t="s">
        <v>27</v>
      </c>
      <c r="F3" s="13" t="s">
        <v>28</v>
      </c>
    </row>
    <row r="4" customFormat="false" ht="45.75" hidden="false" customHeight="true" outlineLevel="0" collapsed="false">
      <c r="A4" s="14" t="n">
        <v>1</v>
      </c>
      <c r="B4" s="15" t="s">
        <v>29</v>
      </c>
      <c r="C4" s="15" t="s">
        <v>30</v>
      </c>
      <c r="D4" s="15" t="s">
        <v>31</v>
      </c>
      <c r="E4" s="16"/>
      <c r="F4" s="16"/>
    </row>
    <row r="5" customFormat="false" ht="45.75" hidden="false" customHeight="true" outlineLevel="0" collapsed="false">
      <c r="A5" s="14" t="n">
        <v>2</v>
      </c>
      <c r="B5" s="15" t="s">
        <v>32</v>
      </c>
      <c r="C5" s="15" t="s">
        <v>33</v>
      </c>
      <c r="D5" s="15" t="s">
        <v>34</v>
      </c>
      <c r="E5" s="16"/>
      <c r="F5" s="16"/>
    </row>
    <row r="6" customFormat="false" ht="45.75" hidden="false" customHeight="true" outlineLevel="0" collapsed="false">
      <c r="A6" s="14" t="n">
        <v>3</v>
      </c>
      <c r="B6" s="15" t="s">
        <v>35</v>
      </c>
      <c r="C6" s="15" t="s">
        <v>36</v>
      </c>
      <c r="D6" s="15" t="s">
        <v>37</v>
      </c>
      <c r="E6" s="16"/>
      <c r="F6" s="16"/>
    </row>
    <row r="7" customFormat="false" ht="45.75" hidden="false" customHeight="true" outlineLevel="0" collapsed="false">
      <c r="A7" s="14" t="n">
        <v>4</v>
      </c>
      <c r="B7" s="15" t="s">
        <v>38</v>
      </c>
      <c r="C7" s="15" t="s">
        <v>39</v>
      </c>
      <c r="D7" s="15" t="s">
        <v>40</v>
      </c>
      <c r="E7" s="16"/>
      <c r="F7" s="16"/>
    </row>
    <row r="8" customFormat="false" ht="45.75" hidden="false" customHeight="true" outlineLevel="0" collapsed="false">
      <c r="A8" s="14" t="n">
        <v>5</v>
      </c>
      <c r="B8" s="15" t="s">
        <v>41</v>
      </c>
      <c r="C8" s="15" t="s">
        <v>42</v>
      </c>
      <c r="D8" s="15" t="s">
        <v>43</v>
      </c>
      <c r="E8" s="16"/>
      <c r="F8" s="16"/>
    </row>
    <row r="9" customFormat="false" ht="45.75" hidden="false" customHeight="true" outlineLevel="0" collapsed="false">
      <c r="A9" s="14" t="n">
        <v>6</v>
      </c>
      <c r="B9" s="15" t="s">
        <v>44</v>
      </c>
      <c r="C9" s="15" t="s">
        <v>45</v>
      </c>
      <c r="D9" s="15" t="s">
        <v>46</v>
      </c>
      <c r="E9" s="16"/>
      <c r="F9" s="16"/>
    </row>
    <row r="10" customFormat="false" ht="45.75" hidden="false" customHeight="true" outlineLevel="0" collapsed="false">
      <c r="A10" s="14" t="n">
        <v>7</v>
      </c>
      <c r="B10" s="15" t="s">
        <v>47</v>
      </c>
      <c r="C10" s="15" t="s">
        <v>48</v>
      </c>
      <c r="D10" s="15" t="s">
        <v>49</v>
      </c>
      <c r="E10" s="16"/>
      <c r="F10" s="16"/>
    </row>
    <row r="11" customFormat="false" ht="45.75" hidden="false" customHeight="true" outlineLevel="0" collapsed="false">
      <c r="A11" s="14" t="n">
        <v>8</v>
      </c>
      <c r="B11" s="15" t="s">
        <v>50</v>
      </c>
      <c r="C11" s="15" t="s">
        <v>51</v>
      </c>
      <c r="D11" s="15" t="s">
        <v>52</v>
      </c>
      <c r="E11" s="16"/>
      <c r="F11" s="16"/>
    </row>
    <row r="12" customFormat="false" ht="45.75" hidden="false" customHeight="true" outlineLevel="0" collapsed="false">
      <c r="A12" s="14" t="n">
        <v>9</v>
      </c>
      <c r="B12" s="15" t="s">
        <v>53</v>
      </c>
      <c r="C12" s="15" t="s">
        <v>54</v>
      </c>
      <c r="D12" s="15" t="s">
        <v>55</v>
      </c>
      <c r="E12" s="16"/>
      <c r="F12" s="16"/>
    </row>
    <row r="13" customFormat="false" ht="45.75" hidden="false" customHeight="true" outlineLevel="0" collapsed="false">
      <c r="A13" s="14" t="n">
        <v>10</v>
      </c>
      <c r="B13" s="15" t="s">
        <v>56</v>
      </c>
      <c r="C13" s="15" t="s">
        <v>57</v>
      </c>
      <c r="D13" s="15" t="s">
        <v>58</v>
      </c>
      <c r="E13" s="16"/>
      <c r="F13" s="16"/>
    </row>
    <row r="14" customFormat="false" ht="45.75" hidden="false" customHeight="true" outlineLevel="0" collapsed="false">
      <c r="A14" s="14" t="n">
        <v>11</v>
      </c>
      <c r="B14" s="15" t="s">
        <v>59</v>
      </c>
      <c r="C14" s="15" t="s">
        <v>60</v>
      </c>
      <c r="D14" s="15" t="s">
        <v>61</v>
      </c>
      <c r="E14" s="16"/>
      <c r="F14" s="16"/>
    </row>
    <row r="15" customFormat="false" ht="45.75" hidden="false" customHeight="true" outlineLevel="0" collapsed="false">
      <c r="A15" s="14" t="n">
        <v>12</v>
      </c>
      <c r="B15" s="15" t="s">
        <v>62</v>
      </c>
      <c r="C15" s="15" t="s">
        <v>63</v>
      </c>
      <c r="D15" s="15" t="s">
        <v>64</v>
      </c>
      <c r="E15" s="16"/>
      <c r="F15" s="16"/>
    </row>
    <row r="17" customFormat="false" ht="15" hidden="false" customHeight="false" outlineLevel="0" collapsed="false">
      <c r="B17" s="10" t="s">
        <v>65</v>
      </c>
    </row>
    <row r="18" customFormat="false" ht="15" hidden="false" customHeight="false" outlineLevel="0" collapsed="false">
      <c r="B18" s="17" t="s">
        <v>66</v>
      </c>
      <c r="C18" s="18" t="n">
        <f aca="false">COUNTIF(E4:E15,"OK")</f>
        <v>0</v>
      </c>
    </row>
    <row r="19" customFormat="false" ht="15" hidden="false" customHeight="false" outlineLevel="0" collapsed="false">
      <c r="B19" s="19" t="s">
        <v>67</v>
      </c>
      <c r="C19" s="18" t="n">
        <f aca="false">COUNTIF(E4:E15,"要確認")</f>
        <v>0</v>
      </c>
    </row>
    <row r="20" customFormat="false" ht="15" hidden="false" customHeight="false" outlineLevel="0" collapsed="false">
      <c r="B20" s="19" t="s">
        <v>68</v>
      </c>
      <c r="C20" s="18" t="n">
        <f aca="false">COUNTIF(E4:E15,"該当なし")</f>
        <v>0</v>
      </c>
    </row>
    <row r="21" customFormat="false" ht="15" hidden="false" customHeight="false" outlineLevel="0" collapsed="false">
      <c r="B21" s="19" t="s">
        <v>69</v>
      </c>
      <c r="C21" s="18" t="n">
        <f aca="false">12-COUNTA(E4:E15)</f>
        <v>12</v>
      </c>
    </row>
    <row r="22" customFormat="false" ht="15" hidden="false" customHeight="false" outlineLevel="0" collapsed="false">
      <c r="B22" s="10" t="s">
        <v>27</v>
      </c>
      <c r="C22" s="10" t="str">
        <f aca="false">IF(C21&gt;0,"未入力の項目があります",IF(C19&gt;0,"「要確認」の項目を解消してから、比較してください","すべて確認済みです"))</f>
        <v>未入力の項目があります</v>
      </c>
    </row>
  </sheetData>
  <conditionalFormatting sqref="E4:E15">
    <cfRule type="cellIs" priority="2" operator="equal" aboveAverage="0" equalAverage="0" bottom="0" percent="0" rank="0" text="" dxfId="0">
      <formula>"要確認"</formula>
    </cfRule>
  </conditionalFormatting>
  <dataValidations count="1">
    <dataValidation allowBlank="true" errorStyle="stop" operator="between" showDropDown="false" showErrorMessage="false" showInputMessage="false" sqref="E4:E15" type="list">
      <formula1>"OK,要確認,該当なし"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7" min="5" style="0" width="14"/>
    <col collapsed="false" customWidth="true" hidden="false" outlineLevel="0" max="8" min="8" style="0" width="3"/>
    <col collapsed="false" customWidth="true" hidden="false" outlineLevel="0" max="9" min="9" style="0" width="22"/>
    <col collapsed="false" customWidth="true" hidden="false" outlineLevel="0" max="11" min="10" style="0" width="18"/>
    <col collapsed="false" customWidth="true" hidden="false" outlineLevel="0" max="12" min="12" style="0" width="4"/>
  </cols>
  <sheetData>
    <row r="1" customFormat="false" ht="17.35" hidden="false" customHeight="false" outlineLevel="0" collapsed="false">
      <c r="A1" s="11" t="s">
        <v>70</v>
      </c>
    </row>
    <row r="2" customFormat="false" ht="15" hidden="false" customHeight="false" outlineLevel="0" collapsed="false">
      <c r="I2" s="5" t="s">
        <v>71</v>
      </c>
    </row>
    <row r="3" customFormat="false" ht="15" hidden="false" customHeight="false" outlineLevel="0" collapsed="false">
      <c r="A3" s="10" t="s">
        <v>72</v>
      </c>
      <c r="B3" s="20"/>
      <c r="C3" s="20"/>
      <c r="D3" s="20"/>
      <c r="E3" s="20"/>
      <c r="F3" s="20"/>
      <c r="G3" s="20"/>
      <c r="I3" s="21" t="s">
        <v>73</v>
      </c>
      <c r="J3" s="22" t="n">
        <f aca="false">COUNT($D$9:$D$55)</f>
        <v>0</v>
      </c>
    </row>
    <row r="4" customFormat="false" ht="15" hidden="false" customHeight="false" outlineLevel="0" collapsed="false">
      <c r="A4" s="10" t="s">
        <v>35</v>
      </c>
      <c r="B4" s="20"/>
      <c r="C4" s="20"/>
      <c r="D4" s="20"/>
      <c r="E4" s="20"/>
      <c r="F4" s="20"/>
      <c r="G4" s="20"/>
      <c r="I4" s="21" t="s">
        <v>74</v>
      </c>
      <c r="J4" s="23" t="str">
        <f aca="false">IF(COUNT($D$9:$D$55)=0,"",AVERAGE($D$9:$D$55))</f>
        <v/>
      </c>
    </row>
    <row r="5" customFormat="false" ht="15" hidden="false" customHeight="false" outlineLevel="0" collapsed="false">
      <c r="A5" s="10" t="s">
        <v>29</v>
      </c>
      <c r="B5" s="20"/>
      <c r="C5" s="20"/>
      <c r="D5" s="20"/>
      <c r="E5" s="20"/>
      <c r="F5" s="20"/>
      <c r="G5" s="20"/>
      <c r="I5" s="21" t="s">
        <v>75</v>
      </c>
      <c r="J5" s="23" t="str">
        <f aca="false">IF(COUNT($D$9:$D$55)=0,"",MEDIAN($D$9:$D$55))</f>
        <v/>
      </c>
    </row>
    <row r="6" customFormat="false" ht="15" hidden="false" customHeight="false" outlineLevel="0" collapsed="false">
      <c r="A6" s="10" t="s">
        <v>32</v>
      </c>
      <c r="B6" s="20"/>
      <c r="C6" s="20"/>
      <c r="D6" s="20"/>
      <c r="E6" s="20"/>
      <c r="F6" s="20"/>
      <c r="G6" s="20"/>
      <c r="I6" s="21" t="s">
        <v>76</v>
      </c>
      <c r="J6" s="23" t="str">
        <f aca="false">IF(COUNT($D$9:$D$55)=0,"",MAX($D$9:$D$55))</f>
        <v/>
      </c>
    </row>
    <row r="7" customFormat="false" ht="15" hidden="false" customHeight="false" outlineLevel="0" collapsed="false">
      <c r="I7" s="21" t="s">
        <v>77</v>
      </c>
      <c r="J7" s="24" t="str">
        <f aca="false">IF(COUNT($D$9:$D$55)=0,"",INDEX($B$9:$B$55,MATCH(MAX($D$9:$D$55),$D$9:$D$55,0)))</f>
        <v/>
      </c>
    </row>
    <row r="8" customFormat="false" ht="31.5" hidden="false" customHeight="true" outlineLevel="0" collapsed="false">
      <c r="A8" s="13" t="s">
        <v>78</v>
      </c>
      <c r="B8" s="13" t="s">
        <v>13</v>
      </c>
      <c r="C8" s="13" t="s">
        <v>79</v>
      </c>
      <c r="D8" s="13" t="s">
        <v>80</v>
      </c>
      <c r="E8" s="13" t="s">
        <v>81</v>
      </c>
      <c r="F8" s="13" t="s">
        <v>82</v>
      </c>
      <c r="G8" s="13" t="s">
        <v>83</v>
      </c>
      <c r="I8" s="21" t="s">
        <v>84</v>
      </c>
      <c r="J8" s="23" t="str">
        <f aca="false">IF(COUNT($D$9:$D$55)=0,"",MIN($D$9:$D$55))</f>
        <v/>
      </c>
    </row>
    <row r="9" customFormat="false" ht="15" hidden="false" customHeight="false" outlineLevel="0" collapsed="false">
      <c r="A9" s="25" t="n">
        <v>1</v>
      </c>
      <c r="B9" s="7" t="s">
        <v>15</v>
      </c>
      <c r="C9" s="7" t="s">
        <v>15</v>
      </c>
      <c r="D9" s="26"/>
      <c r="E9" s="25" t="str">
        <f aca="false">IF($D9="","",RANK($D9,$D$9:$D$55,0))</f>
        <v/>
      </c>
      <c r="F9" s="25" t="str">
        <f aca="false">IF($D9="","",RANK($D9,$D$9:$D$55,1))</f>
        <v/>
      </c>
      <c r="G9" s="27" t="str">
        <f aca="false">IF(OR($D9="",COUNT($D$9:$D$55)=0),"",$D9-AVERAGE($D$9:$D$55))</f>
        <v/>
      </c>
      <c r="I9" s="21" t="s">
        <v>85</v>
      </c>
      <c r="J9" s="24" t="str">
        <f aca="false">IF(COUNT($D$9:$D$55)=0,"",INDEX($B$9:$B$55,MATCH(MIN($D$9:$D$55),$D$9:$D$55,0)))</f>
        <v/>
      </c>
    </row>
    <row r="10" customFormat="false" ht="17.15" hidden="false" customHeight="false" outlineLevel="0" collapsed="false">
      <c r="A10" s="25" t="n">
        <v>2</v>
      </c>
      <c r="B10" s="7" t="s">
        <v>86</v>
      </c>
      <c r="C10" s="7" t="s">
        <v>87</v>
      </c>
      <c r="D10" s="26"/>
      <c r="E10" s="25" t="str">
        <f aca="false">IF($D10="","",RANK($D10,$D$9:$D$55,0))</f>
        <v/>
      </c>
      <c r="F10" s="25" t="str">
        <f aca="false">IF($D10="","",RANK($D10,$D$9:$D$55,1))</f>
        <v/>
      </c>
      <c r="G10" s="27" t="str">
        <f aca="false">IF(OR($D10="",COUNT($D$9:$D$55)=0),"",$D10-AVERAGE($D$9:$D$55))</f>
        <v/>
      </c>
      <c r="I10" s="21" t="s">
        <v>88</v>
      </c>
      <c r="J10" s="28" t="str">
        <f aca="false">IF(OR(COUNT($D$9:$D$55)=0,MIN($D$9:$D$55)&lt;=0),"",MAX($D$9:$D$55)/MIN($D$9:$D$55))</f>
        <v/>
      </c>
    </row>
    <row r="11" customFormat="false" ht="15" hidden="false" customHeight="false" outlineLevel="0" collapsed="false">
      <c r="A11" s="25" t="n">
        <v>3</v>
      </c>
      <c r="B11" s="7" t="s">
        <v>89</v>
      </c>
      <c r="C11" s="7" t="s">
        <v>87</v>
      </c>
      <c r="D11" s="26"/>
      <c r="E11" s="25" t="str">
        <f aca="false">IF($D11="","",RANK($D11,$D$9:$D$55,0))</f>
        <v/>
      </c>
      <c r="F11" s="25" t="str">
        <f aca="false">IF($D11="","",RANK($D11,$D$9:$D$55,1))</f>
        <v/>
      </c>
      <c r="G11" s="27" t="str">
        <f aca="false">IF(OR($D11="",COUNT($D$9:$D$55)=0),"",$D11-AVERAGE($D$9:$D$55))</f>
        <v/>
      </c>
      <c r="I11" s="21" t="s">
        <v>90</v>
      </c>
      <c r="J11" s="23" t="str">
        <f aca="false">IF(COUNT($D$9:$D$55)&lt;2,"",STDEVP($D$9:$D$55))</f>
        <v/>
      </c>
    </row>
    <row r="12" customFormat="false" ht="17.15" hidden="false" customHeight="false" outlineLevel="0" collapsed="false">
      <c r="A12" s="25" t="n">
        <v>4</v>
      </c>
      <c r="B12" s="7" t="s">
        <v>91</v>
      </c>
      <c r="C12" s="7" t="s">
        <v>87</v>
      </c>
      <c r="D12" s="26"/>
      <c r="E12" s="25" t="str">
        <f aca="false">IF($D12="","",RANK($D12,$D$9:$D$55,0))</f>
        <v/>
      </c>
      <c r="F12" s="25" t="str">
        <f aca="false">IF($D12="","",RANK($D12,$D$9:$D$55,1))</f>
        <v/>
      </c>
      <c r="G12" s="27" t="str">
        <f aca="false">IF(OR($D12="",COUNT($D$9:$D$55)=0),"",$D12-AVERAGE($D$9:$D$55))</f>
        <v/>
      </c>
      <c r="I12" s="21" t="s">
        <v>92</v>
      </c>
      <c r="J12" s="29" t="str">
        <f aca="false">IF(COUNT($D$9:$D$55)&lt;2,"",IF(AVERAGE($D$9:$D$55)=0,"",STDEVP($D$9:$D$55)/AVERAGE($D$9:$D$55)))</f>
        <v/>
      </c>
    </row>
    <row r="13" customFormat="false" ht="15" hidden="false" customHeight="false" outlineLevel="0" collapsed="false">
      <c r="A13" s="25" t="n">
        <v>5</v>
      </c>
      <c r="B13" s="7" t="s">
        <v>93</v>
      </c>
      <c r="C13" s="7" t="s">
        <v>87</v>
      </c>
      <c r="D13" s="26"/>
      <c r="E13" s="25" t="str">
        <f aca="false">IF($D13="","",RANK($D13,$D$9:$D$55,0))</f>
        <v/>
      </c>
      <c r="F13" s="25" t="str">
        <f aca="false">IF($D13="","",RANK($D13,$D$9:$D$55,1))</f>
        <v/>
      </c>
      <c r="G13" s="27" t="str">
        <f aca="false">IF(OR($D13="",COUNT($D$9:$D$55)=0),"",$D13-AVERAGE($D$9:$D$55))</f>
        <v/>
      </c>
      <c r="I13" s="10" t="s">
        <v>94</v>
      </c>
    </row>
    <row r="14" customFormat="false" ht="31.5" hidden="false" customHeight="true" outlineLevel="0" collapsed="false">
      <c r="A14" s="25" t="n">
        <v>6</v>
      </c>
      <c r="B14" s="7" t="s">
        <v>95</v>
      </c>
      <c r="C14" s="7" t="s">
        <v>87</v>
      </c>
      <c r="D14" s="26"/>
      <c r="E14" s="25" t="str">
        <f aca="false">IF($D14="","",RANK($D14,$D$9:$D$55,0))</f>
        <v/>
      </c>
      <c r="F14" s="25" t="str">
        <f aca="false">IF($D14="","",RANK($D14,$D$9:$D$55,1))</f>
        <v/>
      </c>
      <c r="G14" s="27" t="str">
        <f aca="false">IF(OR($D14="",COUNT($D$9:$D$55)=0),"",$D14-AVERAGE($D$9:$D$55))</f>
        <v/>
      </c>
      <c r="I14" s="30" t="str">
        <f aca="false">IF(COUNT($D$9:$D$55)=0,"",IF(J4&gt;J5*1.05,"平均が中央値を上回る（一部の県が平均を押し上げている）",IF(J4&lt;J5*0.95,"平均が中央値を下回る（一部の県が平均を押し下げている）","平均と中央値が近い（極端な偏りは小さい）")))</f>
        <v/>
      </c>
      <c r="J14" s="30"/>
      <c r="K14" s="30"/>
    </row>
    <row r="15" customFormat="false" ht="15" hidden="false" customHeight="false" outlineLevel="0" collapsed="false">
      <c r="A15" s="25" t="n">
        <v>7</v>
      </c>
      <c r="B15" s="7" t="s">
        <v>96</v>
      </c>
      <c r="C15" s="7" t="s">
        <v>87</v>
      </c>
      <c r="D15" s="26"/>
      <c r="E15" s="25" t="str">
        <f aca="false">IF($D15="","",RANK($D15,$D$9:$D$55,0))</f>
        <v/>
      </c>
      <c r="F15" s="25" t="str">
        <f aca="false">IF($D15="","",RANK($D15,$D$9:$D$55,1))</f>
        <v/>
      </c>
      <c r="G15" s="27" t="str">
        <f aca="false">IF(OR($D15="",COUNT($D$9:$D$55)=0),"",$D15-AVERAGE($D$9:$D$55))</f>
        <v/>
      </c>
    </row>
    <row r="16" customFormat="false" ht="15" hidden="false" customHeight="false" outlineLevel="0" collapsed="false">
      <c r="A16" s="25" t="n">
        <v>8</v>
      </c>
      <c r="B16" s="7" t="s">
        <v>97</v>
      </c>
      <c r="C16" s="7" t="s">
        <v>98</v>
      </c>
      <c r="D16" s="26"/>
      <c r="E16" s="25" t="str">
        <f aca="false">IF($D16="","",RANK($D16,$D$9:$D$55,0))</f>
        <v/>
      </c>
      <c r="F16" s="25" t="str">
        <f aca="false">IF($D16="","",RANK($D16,$D$9:$D$55,1))</f>
        <v/>
      </c>
      <c r="G16" s="27" t="str">
        <f aca="false">IF(OR($D16="",COUNT($D$9:$D$55)=0),"",$D16-AVERAGE($D$9:$D$55))</f>
        <v/>
      </c>
      <c r="I16" s="5" t="s">
        <v>99</v>
      </c>
    </row>
    <row r="17" customFormat="false" ht="15" hidden="false" customHeight="false" outlineLevel="0" collapsed="false">
      <c r="A17" s="25" t="n">
        <v>9</v>
      </c>
      <c r="B17" s="7" t="s">
        <v>100</v>
      </c>
      <c r="C17" s="7" t="s">
        <v>98</v>
      </c>
      <c r="D17" s="26"/>
      <c r="E17" s="25" t="str">
        <f aca="false">IF($D17="","",RANK($D17,$D$9:$D$55,0))</f>
        <v/>
      </c>
      <c r="F17" s="25" t="str">
        <f aca="false">IF($D17="","",RANK($D17,$D$9:$D$55,1))</f>
        <v/>
      </c>
      <c r="G17" s="27" t="str">
        <f aca="false">IF(OR($D17="",COUNT($D$9:$D$55)=0),"",$D17-AVERAGE($D$9:$D$55))</f>
        <v/>
      </c>
      <c r="I17" s="6" t="s">
        <v>79</v>
      </c>
      <c r="J17" s="6" t="s">
        <v>74</v>
      </c>
      <c r="K17" s="6" t="s">
        <v>101</v>
      </c>
    </row>
    <row r="18" customFormat="false" ht="15" hidden="false" customHeight="false" outlineLevel="0" collapsed="false">
      <c r="A18" s="25" t="n">
        <v>10</v>
      </c>
      <c r="B18" s="7" t="s">
        <v>102</v>
      </c>
      <c r="C18" s="7" t="s">
        <v>98</v>
      </c>
      <c r="D18" s="26"/>
      <c r="E18" s="25" t="str">
        <f aca="false">IF($D18="","",RANK($D18,$D$9:$D$55,0))</f>
        <v/>
      </c>
      <c r="F18" s="25" t="str">
        <f aca="false">IF($D18="","",RANK($D18,$D$9:$D$55,1))</f>
        <v/>
      </c>
      <c r="G18" s="27" t="str">
        <f aca="false">IF(OR($D18="",COUNT($D$9:$D$55)=0),"",$D18-AVERAGE($D$9:$D$55))</f>
        <v/>
      </c>
      <c r="I18" s="7" t="s">
        <v>15</v>
      </c>
      <c r="J18" s="31" t="str">
        <f aca="false">IFERROR(AVERAGEIF($C$9:$C$55,I18,$D$9:$D$55),"")</f>
        <v/>
      </c>
      <c r="K18" s="7" t="n">
        <f aca="false">COUNTIFS($C$9:$C$55,I18,$D$9:$D$55,"&lt;&gt;")</f>
        <v>0</v>
      </c>
    </row>
    <row r="19" customFormat="false" ht="15" hidden="false" customHeight="false" outlineLevel="0" collapsed="false">
      <c r="A19" s="25" t="n">
        <v>11</v>
      </c>
      <c r="B19" s="7" t="s">
        <v>103</v>
      </c>
      <c r="C19" s="7" t="s">
        <v>98</v>
      </c>
      <c r="D19" s="26"/>
      <c r="E19" s="25" t="str">
        <f aca="false">IF($D19="","",RANK($D19,$D$9:$D$55,0))</f>
        <v/>
      </c>
      <c r="F19" s="25" t="str">
        <f aca="false">IF($D19="","",RANK($D19,$D$9:$D$55,1))</f>
        <v/>
      </c>
      <c r="G19" s="27" t="str">
        <f aca="false">IF(OR($D19="",COUNT($D$9:$D$55)=0),"",$D19-AVERAGE($D$9:$D$55))</f>
        <v/>
      </c>
      <c r="I19" s="7" t="s">
        <v>87</v>
      </c>
      <c r="J19" s="31" t="str">
        <f aca="false">IFERROR(AVERAGEIF($C$9:$C$55,I19,$D$9:$D$55),"")</f>
        <v/>
      </c>
      <c r="K19" s="7" t="n">
        <f aca="false">COUNTIFS($C$9:$C$55,I19,$D$9:$D$55,"&lt;&gt;")</f>
        <v>0</v>
      </c>
    </row>
    <row r="20" customFormat="false" ht="15" hidden="false" customHeight="false" outlineLevel="0" collapsed="false">
      <c r="A20" s="25" t="n">
        <v>12</v>
      </c>
      <c r="B20" s="7" t="s">
        <v>104</v>
      </c>
      <c r="C20" s="7" t="s">
        <v>98</v>
      </c>
      <c r="D20" s="26"/>
      <c r="E20" s="25" t="str">
        <f aca="false">IF($D20="","",RANK($D20,$D$9:$D$55,0))</f>
        <v/>
      </c>
      <c r="F20" s="25" t="str">
        <f aca="false">IF($D20="","",RANK($D20,$D$9:$D$55,1))</f>
        <v/>
      </c>
      <c r="G20" s="27" t="str">
        <f aca="false">IF(OR($D20="",COUNT($D$9:$D$55)=0),"",$D20-AVERAGE($D$9:$D$55))</f>
        <v/>
      </c>
      <c r="I20" s="7" t="s">
        <v>98</v>
      </c>
      <c r="J20" s="31" t="str">
        <f aca="false">IFERROR(AVERAGEIF($C$9:$C$55,I20,$D$9:$D$55),"")</f>
        <v/>
      </c>
      <c r="K20" s="7" t="n">
        <f aca="false">COUNTIFS($C$9:$C$55,I20,$D$9:$D$55,"&lt;&gt;")</f>
        <v>0</v>
      </c>
    </row>
    <row r="21" customFormat="false" ht="15" hidden="false" customHeight="false" outlineLevel="0" collapsed="false">
      <c r="A21" s="25" t="n">
        <v>13</v>
      </c>
      <c r="B21" s="7" t="s">
        <v>105</v>
      </c>
      <c r="C21" s="7" t="s">
        <v>98</v>
      </c>
      <c r="D21" s="26"/>
      <c r="E21" s="25" t="str">
        <f aca="false">IF($D21="","",RANK($D21,$D$9:$D$55,0))</f>
        <v/>
      </c>
      <c r="F21" s="25" t="str">
        <f aca="false">IF($D21="","",RANK($D21,$D$9:$D$55,1))</f>
        <v/>
      </c>
      <c r="G21" s="27" t="str">
        <f aca="false">IF(OR($D21="",COUNT($D$9:$D$55)=0),"",$D21-AVERAGE($D$9:$D$55))</f>
        <v/>
      </c>
      <c r="I21" s="7" t="s">
        <v>106</v>
      </c>
      <c r="J21" s="31" t="str">
        <f aca="false">IFERROR(AVERAGEIF($C$9:$C$55,I21,$D$9:$D$55),"")</f>
        <v/>
      </c>
      <c r="K21" s="7" t="n">
        <f aca="false">COUNTIFS($C$9:$C$55,I21,$D$9:$D$55,"&lt;&gt;")</f>
        <v>0</v>
      </c>
    </row>
    <row r="22" customFormat="false" ht="15" hidden="false" customHeight="false" outlineLevel="0" collapsed="false">
      <c r="A22" s="25" t="n">
        <v>14</v>
      </c>
      <c r="B22" s="7" t="s">
        <v>107</v>
      </c>
      <c r="C22" s="7" t="s">
        <v>98</v>
      </c>
      <c r="D22" s="26"/>
      <c r="E22" s="25" t="str">
        <f aca="false">IF($D22="","",RANK($D22,$D$9:$D$55,0))</f>
        <v/>
      </c>
      <c r="F22" s="25" t="str">
        <f aca="false">IF($D22="","",RANK($D22,$D$9:$D$55,1))</f>
        <v/>
      </c>
      <c r="G22" s="27" t="str">
        <f aca="false">IF(OR($D22="",COUNT($D$9:$D$55)=0),"",$D22-AVERAGE($D$9:$D$55))</f>
        <v/>
      </c>
      <c r="I22" s="7" t="s">
        <v>108</v>
      </c>
      <c r="J22" s="31" t="str">
        <f aca="false">IFERROR(AVERAGEIF($C$9:$C$55,I22,$D$9:$D$55),"")</f>
        <v/>
      </c>
      <c r="K22" s="7" t="n">
        <f aca="false">COUNTIFS($C$9:$C$55,I22,$D$9:$D$55,"&lt;&gt;")</f>
        <v>0</v>
      </c>
    </row>
    <row r="23" customFormat="false" ht="15" hidden="false" customHeight="false" outlineLevel="0" collapsed="false">
      <c r="A23" s="25" t="n">
        <v>15</v>
      </c>
      <c r="B23" s="7" t="s">
        <v>17</v>
      </c>
      <c r="C23" s="7" t="s">
        <v>106</v>
      </c>
      <c r="D23" s="26"/>
      <c r="E23" s="25" t="str">
        <f aca="false">IF($D23="","",RANK($D23,$D$9:$D$55,0))</f>
        <v/>
      </c>
      <c r="F23" s="25" t="str">
        <f aca="false">IF($D23="","",RANK($D23,$D$9:$D$55,1))</f>
        <v/>
      </c>
      <c r="G23" s="27" t="str">
        <f aca="false">IF(OR($D23="",COUNT($D$9:$D$55)=0),"",$D23-AVERAGE($D$9:$D$55))</f>
        <v/>
      </c>
      <c r="I23" s="7" t="s">
        <v>109</v>
      </c>
      <c r="J23" s="31" t="str">
        <f aca="false">IFERROR(AVERAGEIF($C$9:$C$55,I23,$D$9:$D$55),"")</f>
        <v/>
      </c>
      <c r="K23" s="7" t="n">
        <f aca="false">COUNTIFS($C$9:$C$55,I23,$D$9:$D$55,"&lt;&gt;")</f>
        <v>0</v>
      </c>
    </row>
    <row r="24" customFormat="false" ht="15" hidden="false" customHeight="false" outlineLevel="0" collapsed="false">
      <c r="A24" s="25" t="n">
        <v>16</v>
      </c>
      <c r="B24" s="7" t="s">
        <v>110</v>
      </c>
      <c r="C24" s="7" t="s">
        <v>106</v>
      </c>
      <c r="D24" s="26"/>
      <c r="E24" s="25" t="str">
        <f aca="false">IF($D24="","",RANK($D24,$D$9:$D$55,0))</f>
        <v/>
      </c>
      <c r="F24" s="25" t="str">
        <f aca="false">IF($D24="","",RANK($D24,$D$9:$D$55,1))</f>
        <v/>
      </c>
      <c r="G24" s="27" t="str">
        <f aca="false">IF(OR($D24="",COUNT($D$9:$D$55)=0),"",$D24-AVERAGE($D$9:$D$55))</f>
        <v/>
      </c>
      <c r="I24" s="7" t="s">
        <v>111</v>
      </c>
      <c r="J24" s="31" t="str">
        <f aca="false">IFERROR(AVERAGEIF($C$9:$C$55,I24,$D$9:$D$55),"")</f>
        <v/>
      </c>
      <c r="K24" s="7" t="n">
        <f aca="false">COUNTIFS($C$9:$C$55,I24,$D$9:$D$55,"&lt;&gt;")</f>
        <v>0</v>
      </c>
    </row>
    <row r="25" customFormat="false" ht="15" hidden="false" customHeight="false" outlineLevel="0" collapsed="false">
      <c r="A25" s="25" t="n">
        <v>17</v>
      </c>
      <c r="B25" s="7" t="s">
        <v>112</v>
      </c>
      <c r="C25" s="7" t="s">
        <v>106</v>
      </c>
      <c r="D25" s="26"/>
      <c r="E25" s="25" t="str">
        <f aca="false">IF($D25="","",RANK($D25,$D$9:$D$55,0))</f>
        <v/>
      </c>
      <c r="F25" s="25" t="str">
        <f aca="false">IF($D25="","",RANK($D25,$D$9:$D$55,1))</f>
        <v/>
      </c>
      <c r="G25" s="27" t="str">
        <f aca="false">IF(OR($D25="",COUNT($D$9:$D$55)=0),"",$D25-AVERAGE($D$9:$D$55))</f>
        <v/>
      </c>
      <c r="I25" s="7" t="s">
        <v>113</v>
      </c>
      <c r="J25" s="31" t="str">
        <f aca="false">IFERROR(AVERAGEIF($C$9:$C$55,I25,$D$9:$D$55),"")</f>
        <v/>
      </c>
      <c r="K25" s="7" t="n">
        <f aca="false">COUNTIFS($C$9:$C$55,I25,$D$9:$D$55,"&lt;&gt;")</f>
        <v>0</v>
      </c>
    </row>
    <row r="26" customFormat="false" ht="15" hidden="false" customHeight="false" outlineLevel="0" collapsed="false">
      <c r="A26" s="25" t="n">
        <v>18</v>
      </c>
      <c r="B26" s="7" t="s">
        <v>114</v>
      </c>
      <c r="C26" s="7" t="s">
        <v>106</v>
      </c>
      <c r="D26" s="26"/>
      <c r="E26" s="25" t="str">
        <f aca="false">IF($D26="","",RANK($D26,$D$9:$D$55,0))</f>
        <v/>
      </c>
      <c r="F26" s="25" t="str">
        <f aca="false">IF($D26="","",RANK($D26,$D$9:$D$55,1))</f>
        <v/>
      </c>
      <c r="G26" s="27" t="str">
        <f aca="false">IF(OR($D26="",COUNT($D$9:$D$55)=0),"",$D26-AVERAGE($D$9:$D$55))</f>
        <v/>
      </c>
    </row>
    <row r="27" customFormat="false" ht="15" hidden="false" customHeight="false" outlineLevel="0" collapsed="false">
      <c r="A27" s="25" t="n">
        <v>19</v>
      </c>
      <c r="B27" s="7" t="s">
        <v>115</v>
      </c>
      <c r="C27" s="7" t="s">
        <v>106</v>
      </c>
      <c r="D27" s="26"/>
      <c r="E27" s="25" t="str">
        <f aca="false">IF($D27="","",RANK($D27,$D$9:$D$55,0))</f>
        <v/>
      </c>
      <c r="F27" s="25" t="str">
        <f aca="false">IF($D27="","",RANK($D27,$D$9:$D$55,1))</f>
        <v/>
      </c>
      <c r="G27" s="27" t="str">
        <f aca="false">IF(OR($D27="",COUNT($D$9:$D$55)=0),"",$D27-AVERAGE($D$9:$D$55))</f>
        <v/>
      </c>
      <c r="I27" s="10" t="s">
        <v>116</v>
      </c>
      <c r="J27" s="32" t="str">
        <f aca="false">IF(COUNT(J18:J25)=0,"",INDEX(I18:I25,MATCH(MAX(J18:J25),J18:J25,0)))</f>
        <v/>
      </c>
    </row>
    <row r="28" customFormat="false" ht="15" hidden="false" customHeight="false" outlineLevel="0" collapsed="false">
      <c r="A28" s="25" t="n">
        <v>20</v>
      </c>
      <c r="B28" s="7" t="s">
        <v>16</v>
      </c>
      <c r="C28" s="7" t="s">
        <v>106</v>
      </c>
      <c r="D28" s="26"/>
      <c r="E28" s="25" t="str">
        <f aca="false">IF($D28="","",RANK($D28,$D$9:$D$55,0))</f>
        <v/>
      </c>
      <c r="F28" s="25" t="str">
        <f aca="false">IF($D28="","",RANK($D28,$D$9:$D$55,1))</f>
        <v/>
      </c>
      <c r="G28" s="27" t="str">
        <f aca="false">IF(OR($D28="",COUNT($D$9:$D$55)=0),"",$D28-AVERAGE($D$9:$D$55))</f>
        <v/>
      </c>
      <c r="I28" s="10" t="s">
        <v>117</v>
      </c>
      <c r="J28" s="32" t="str">
        <f aca="false">IF(COUNT(J18:J25)=0,"",INDEX(I18:I25,MATCH(MIN(J18:J25),J18:J25,0)))</f>
        <v/>
      </c>
    </row>
    <row r="29" customFormat="false" ht="15" hidden="false" customHeight="false" outlineLevel="0" collapsed="false">
      <c r="A29" s="25" t="n">
        <v>21</v>
      </c>
      <c r="B29" s="7" t="s">
        <v>118</v>
      </c>
      <c r="C29" s="7" t="s">
        <v>106</v>
      </c>
      <c r="D29" s="26"/>
      <c r="E29" s="25" t="str">
        <f aca="false">IF($D29="","",RANK($D29,$D$9:$D$55,0))</f>
        <v/>
      </c>
      <c r="F29" s="25" t="str">
        <f aca="false">IF($D29="","",RANK($D29,$D$9:$D$55,1))</f>
        <v/>
      </c>
      <c r="G29" s="27" t="str">
        <f aca="false">IF(OR($D29="",COUNT($D$9:$D$55)=0),"",$D29-AVERAGE($D$9:$D$55))</f>
        <v/>
      </c>
    </row>
    <row r="30" customFormat="false" ht="15" hidden="false" customHeight="false" outlineLevel="0" collapsed="false">
      <c r="A30" s="25" t="n">
        <v>22</v>
      </c>
      <c r="B30" s="7" t="s">
        <v>119</v>
      </c>
      <c r="C30" s="7" t="s">
        <v>106</v>
      </c>
      <c r="D30" s="26"/>
      <c r="E30" s="25" t="str">
        <f aca="false">IF($D30="","",RANK($D30,$D$9:$D$55,0))</f>
        <v/>
      </c>
      <c r="F30" s="25" t="str">
        <f aca="false">IF($D30="","",RANK($D30,$D$9:$D$55,1))</f>
        <v/>
      </c>
      <c r="G30" s="27" t="str">
        <f aca="false">IF(OR($D30="",COUNT($D$9:$D$55)=0),"",$D30-AVERAGE($D$9:$D$55))</f>
        <v/>
      </c>
      <c r="I30" s="9" t="s">
        <v>120</v>
      </c>
    </row>
    <row r="31" customFormat="false" ht="15" hidden="false" customHeight="false" outlineLevel="0" collapsed="false">
      <c r="A31" s="25" t="n">
        <v>23</v>
      </c>
      <c r="B31" s="7" t="s">
        <v>121</v>
      </c>
      <c r="C31" s="7" t="s">
        <v>106</v>
      </c>
      <c r="D31" s="26"/>
      <c r="E31" s="25" t="str">
        <f aca="false">IF($D31="","",RANK($D31,$D$9:$D$55,0))</f>
        <v/>
      </c>
      <c r="F31" s="25" t="str">
        <f aca="false">IF($D31="","",RANK($D31,$D$9:$D$55,1))</f>
        <v/>
      </c>
      <c r="G31" s="27" t="str">
        <f aca="false">IF(OR($D31="",COUNT($D$9:$D$55)=0),"",$D31-AVERAGE($D$9:$D$55))</f>
        <v/>
      </c>
      <c r="I31" s="9" t="s">
        <v>122</v>
      </c>
    </row>
    <row r="32" customFormat="false" ht="15" hidden="false" customHeight="false" outlineLevel="0" collapsed="false">
      <c r="A32" s="25" t="n">
        <v>24</v>
      </c>
      <c r="B32" s="7" t="s">
        <v>123</v>
      </c>
      <c r="C32" s="7" t="s">
        <v>108</v>
      </c>
      <c r="D32" s="26"/>
      <c r="E32" s="25" t="str">
        <f aca="false">IF($D32="","",RANK($D32,$D$9:$D$55,0))</f>
        <v/>
      </c>
      <c r="F32" s="25" t="str">
        <f aca="false">IF($D32="","",RANK($D32,$D$9:$D$55,1))</f>
        <v/>
      </c>
      <c r="G32" s="27" t="str">
        <f aca="false">IF(OR($D32="",COUNT($D$9:$D$55)=0),"",$D32-AVERAGE($D$9:$D$55))</f>
        <v/>
      </c>
    </row>
    <row r="33" customFormat="false" ht="15" hidden="false" customHeight="false" outlineLevel="0" collapsed="false">
      <c r="A33" s="25" t="n">
        <v>25</v>
      </c>
      <c r="B33" s="7" t="s">
        <v>124</v>
      </c>
      <c r="C33" s="7" t="s">
        <v>108</v>
      </c>
      <c r="D33" s="26"/>
      <c r="E33" s="25" t="str">
        <f aca="false">IF($D33="","",RANK($D33,$D$9:$D$55,0))</f>
        <v/>
      </c>
      <c r="F33" s="25" t="str">
        <f aca="false">IF($D33="","",RANK($D33,$D$9:$D$55,1))</f>
        <v/>
      </c>
      <c r="G33" s="27" t="str">
        <f aca="false">IF(OR($D33="",COUNT($D$9:$D$55)=0),"",$D33-AVERAGE($D$9:$D$55))</f>
        <v/>
      </c>
    </row>
    <row r="34" customFormat="false" ht="15" hidden="false" customHeight="false" outlineLevel="0" collapsed="false">
      <c r="A34" s="25" t="n">
        <v>26</v>
      </c>
      <c r="B34" s="7" t="s">
        <v>125</v>
      </c>
      <c r="C34" s="7" t="s">
        <v>108</v>
      </c>
      <c r="D34" s="26"/>
      <c r="E34" s="25" t="str">
        <f aca="false">IF($D34="","",RANK($D34,$D$9:$D$55,0))</f>
        <v/>
      </c>
      <c r="F34" s="25" t="str">
        <f aca="false">IF($D34="","",RANK($D34,$D$9:$D$55,1))</f>
        <v/>
      </c>
      <c r="G34" s="27" t="str">
        <f aca="false">IF(OR($D34="",COUNT($D$9:$D$55)=0),"",$D34-AVERAGE($D$9:$D$55))</f>
        <v/>
      </c>
    </row>
    <row r="35" customFormat="false" ht="15" hidden="false" customHeight="false" outlineLevel="0" collapsed="false">
      <c r="A35" s="25" t="n">
        <v>27</v>
      </c>
      <c r="B35" s="7" t="s">
        <v>126</v>
      </c>
      <c r="C35" s="7" t="s">
        <v>108</v>
      </c>
      <c r="D35" s="26"/>
      <c r="E35" s="25" t="str">
        <f aca="false">IF($D35="","",RANK($D35,$D$9:$D$55,0))</f>
        <v/>
      </c>
      <c r="F35" s="25" t="str">
        <f aca="false">IF($D35="","",RANK($D35,$D$9:$D$55,1))</f>
        <v/>
      </c>
      <c r="G35" s="27" t="str">
        <f aca="false">IF(OR($D35="",COUNT($D$9:$D$55)=0),"",$D35-AVERAGE($D$9:$D$55))</f>
        <v/>
      </c>
    </row>
    <row r="36" customFormat="false" ht="15" hidden="false" customHeight="false" outlineLevel="0" collapsed="false">
      <c r="A36" s="25" t="n">
        <v>28</v>
      </c>
      <c r="B36" s="7" t="s">
        <v>127</v>
      </c>
      <c r="C36" s="7" t="s">
        <v>108</v>
      </c>
      <c r="D36" s="26"/>
      <c r="E36" s="25" t="str">
        <f aca="false">IF($D36="","",RANK($D36,$D$9:$D$55,0))</f>
        <v/>
      </c>
      <c r="F36" s="25" t="str">
        <f aca="false">IF($D36="","",RANK($D36,$D$9:$D$55,1))</f>
        <v/>
      </c>
      <c r="G36" s="27" t="str">
        <f aca="false">IF(OR($D36="",COUNT($D$9:$D$55)=0),"",$D36-AVERAGE($D$9:$D$55))</f>
        <v/>
      </c>
    </row>
    <row r="37" customFormat="false" ht="15" hidden="false" customHeight="false" outlineLevel="0" collapsed="false">
      <c r="A37" s="25" t="n">
        <v>29</v>
      </c>
      <c r="B37" s="7" t="s">
        <v>128</v>
      </c>
      <c r="C37" s="7" t="s">
        <v>108</v>
      </c>
      <c r="D37" s="26"/>
      <c r="E37" s="25" t="str">
        <f aca="false">IF($D37="","",RANK($D37,$D$9:$D$55,0))</f>
        <v/>
      </c>
      <c r="F37" s="25" t="str">
        <f aca="false">IF($D37="","",RANK($D37,$D$9:$D$55,1))</f>
        <v/>
      </c>
      <c r="G37" s="27" t="str">
        <f aca="false">IF(OR($D37="",COUNT($D$9:$D$55)=0),"",$D37-AVERAGE($D$9:$D$55))</f>
        <v/>
      </c>
    </row>
    <row r="38" customFormat="false" ht="15" hidden="false" customHeight="false" outlineLevel="0" collapsed="false">
      <c r="A38" s="25" t="n">
        <v>30</v>
      </c>
      <c r="B38" s="7" t="s">
        <v>129</v>
      </c>
      <c r="C38" s="7" t="s">
        <v>108</v>
      </c>
      <c r="D38" s="26"/>
      <c r="E38" s="25" t="str">
        <f aca="false">IF($D38="","",RANK($D38,$D$9:$D$55,0))</f>
        <v/>
      </c>
      <c r="F38" s="25" t="str">
        <f aca="false">IF($D38="","",RANK($D38,$D$9:$D$55,1))</f>
        <v/>
      </c>
      <c r="G38" s="27" t="str">
        <f aca="false">IF(OR($D38="",COUNT($D$9:$D$55)=0),"",$D38-AVERAGE($D$9:$D$55))</f>
        <v/>
      </c>
    </row>
    <row r="39" customFormat="false" ht="15" hidden="false" customHeight="false" outlineLevel="0" collapsed="false">
      <c r="A39" s="25" t="n">
        <v>31</v>
      </c>
      <c r="B39" s="7" t="s">
        <v>130</v>
      </c>
      <c r="C39" s="7" t="s">
        <v>109</v>
      </c>
      <c r="D39" s="26"/>
      <c r="E39" s="25" t="str">
        <f aca="false">IF($D39="","",RANK($D39,$D$9:$D$55,0))</f>
        <v/>
      </c>
      <c r="F39" s="25" t="str">
        <f aca="false">IF($D39="","",RANK($D39,$D$9:$D$55,1))</f>
        <v/>
      </c>
      <c r="G39" s="27" t="str">
        <f aca="false">IF(OR($D39="",COUNT($D$9:$D$55)=0),"",$D39-AVERAGE($D$9:$D$55))</f>
        <v/>
      </c>
    </row>
    <row r="40" customFormat="false" ht="15" hidden="false" customHeight="false" outlineLevel="0" collapsed="false">
      <c r="A40" s="25" t="n">
        <v>32</v>
      </c>
      <c r="B40" s="7" t="s">
        <v>131</v>
      </c>
      <c r="C40" s="7" t="s">
        <v>109</v>
      </c>
      <c r="D40" s="26"/>
      <c r="E40" s="25" t="str">
        <f aca="false">IF($D40="","",RANK($D40,$D$9:$D$55,0))</f>
        <v/>
      </c>
      <c r="F40" s="25" t="str">
        <f aca="false">IF($D40="","",RANK($D40,$D$9:$D$55,1))</f>
        <v/>
      </c>
      <c r="G40" s="27" t="str">
        <f aca="false">IF(OR($D40="",COUNT($D$9:$D$55)=0),"",$D40-AVERAGE($D$9:$D$55))</f>
        <v/>
      </c>
    </row>
    <row r="41" customFormat="false" ht="15" hidden="false" customHeight="false" outlineLevel="0" collapsed="false">
      <c r="A41" s="25" t="n">
        <v>33</v>
      </c>
      <c r="B41" s="7" t="s">
        <v>132</v>
      </c>
      <c r="C41" s="7" t="s">
        <v>109</v>
      </c>
      <c r="D41" s="26"/>
      <c r="E41" s="25" t="str">
        <f aca="false">IF($D41="","",RANK($D41,$D$9:$D$55,0))</f>
        <v/>
      </c>
      <c r="F41" s="25" t="str">
        <f aca="false">IF($D41="","",RANK($D41,$D$9:$D$55,1))</f>
        <v/>
      </c>
      <c r="G41" s="27" t="str">
        <f aca="false">IF(OR($D41="",COUNT($D$9:$D$55)=0),"",$D41-AVERAGE($D$9:$D$55))</f>
        <v/>
      </c>
    </row>
    <row r="42" customFormat="false" ht="15" hidden="false" customHeight="false" outlineLevel="0" collapsed="false">
      <c r="A42" s="25" t="n">
        <v>34</v>
      </c>
      <c r="B42" s="7" t="s">
        <v>133</v>
      </c>
      <c r="C42" s="7" t="s">
        <v>109</v>
      </c>
      <c r="D42" s="26"/>
      <c r="E42" s="25" t="str">
        <f aca="false">IF($D42="","",RANK($D42,$D$9:$D$55,0))</f>
        <v/>
      </c>
      <c r="F42" s="25" t="str">
        <f aca="false">IF($D42="","",RANK($D42,$D$9:$D$55,1))</f>
        <v/>
      </c>
      <c r="G42" s="27" t="str">
        <f aca="false">IF(OR($D42="",COUNT($D$9:$D$55)=0),"",$D42-AVERAGE($D$9:$D$55))</f>
        <v/>
      </c>
    </row>
    <row r="43" customFormat="false" ht="15" hidden="false" customHeight="false" outlineLevel="0" collapsed="false">
      <c r="A43" s="25" t="n">
        <v>35</v>
      </c>
      <c r="B43" s="7" t="s">
        <v>134</v>
      </c>
      <c r="C43" s="7" t="s">
        <v>109</v>
      </c>
      <c r="D43" s="26"/>
      <c r="E43" s="25" t="str">
        <f aca="false">IF($D43="","",RANK($D43,$D$9:$D$55,0))</f>
        <v/>
      </c>
      <c r="F43" s="25" t="str">
        <f aca="false">IF($D43="","",RANK($D43,$D$9:$D$55,1))</f>
        <v/>
      </c>
      <c r="G43" s="27" t="str">
        <f aca="false">IF(OR($D43="",COUNT($D$9:$D$55)=0),"",$D43-AVERAGE($D$9:$D$55))</f>
        <v/>
      </c>
    </row>
    <row r="44" customFormat="false" ht="15" hidden="false" customHeight="false" outlineLevel="0" collapsed="false">
      <c r="A44" s="25" t="n">
        <v>36</v>
      </c>
      <c r="B44" s="7" t="s">
        <v>135</v>
      </c>
      <c r="C44" s="7" t="s">
        <v>111</v>
      </c>
      <c r="D44" s="26"/>
      <c r="E44" s="25" t="str">
        <f aca="false">IF($D44="","",RANK($D44,$D$9:$D$55,0))</f>
        <v/>
      </c>
      <c r="F44" s="25" t="str">
        <f aca="false">IF($D44="","",RANK($D44,$D$9:$D$55,1))</f>
        <v/>
      </c>
      <c r="G44" s="27" t="str">
        <f aca="false">IF(OR($D44="",COUNT($D$9:$D$55)=0),"",$D44-AVERAGE($D$9:$D$55))</f>
        <v/>
      </c>
    </row>
    <row r="45" customFormat="false" ht="15" hidden="false" customHeight="false" outlineLevel="0" collapsed="false">
      <c r="A45" s="25" t="n">
        <v>37</v>
      </c>
      <c r="B45" s="7" t="s">
        <v>136</v>
      </c>
      <c r="C45" s="7" t="s">
        <v>111</v>
      </c>
      <c r="D45" s="26"/>
      <c r="E45" s="25" t="str">
        <f aca="false">IF($D45="","",RANK($D45,$D$9:$D$55,0))</f>
        <v/>
      </c>
      <c r="F45" s="25" t="str">
        <f aca="false">IF($D45="","",RANK($D45,$D$9:$D$55,1))</f>
        <v/>
      </c>
      <c r="G45" s="27" t="str">
        <f aca="false">IF(OR($D45="",COUNT($D$9:$D$55)=0),"",$D45-AVERAGE($D$9:$D$55))</f>
        <v/>
      </c>
    </row>
    <row r="46" customFormat="false" ht="15" hidden="false" customHeight="false" outlineLevel="0" collapsed="false">
      <c r="A46" s="25" t="n">
        <v>38</v>
      </c>
      <c r="B46" s="7" t="s">
        <v>137</v>
      </c>
      <c r="C46" s="7" t="s">
        <v>111</v>
      </c>
      <c r="D46" s="26"/>
      <c r="E46" s="25" t="str">
        <f aca="false">IF($D46="","",RANK($D46,$D$9:$D$55,0))</f>
        <v/>
      </c>
      <c r="F46" s="25" t="str">
        <f aca="false">IF($D46="","",RANK($D46,$D$9:$D$55,1))</f>
        <v/>
      </c>
      <c r="G46" s="27" t="str">
        <f aca="false">IF(OR($D46="",COUNT($D$9:$D$55)=0),"",$D46-AVERAGE($D$9:$D$55))</f>
        <v/>
      </c>
    </row>
    <row r="47" customFormat="false" ht="15" hidden="false" customHeight="false" outlineLevel="0" collapsed="false">
      <c r="A47" s="25" t="n">
        <v>39</v>
      </c>
      <c r="B47" s="7" t="s">
        <v>138</v>
      </c>
      <c r="C47" s="7" t="s">
        <v>111</v>
      </c>
      <c r="D47" s="26"/>
      <c r="E47" s="25" t="str">
        <f aca="false">IF($D47="","",RANK($D47,$D$9:$D$55,0))</f>
        <v/>
      </c>
      <c r="F47" s="25" t="str">
        <f aca="false">IF($D47="","",RANK($D47,$D$9:$D$55,1))</f>
        <v/>
      </c>
      <c r="G47" s="27" t="str">
        <f aca="false">IF(OR($D47="",COUNT($D$9:$D$55)=0),"",$D47-AVERAGE($D$9:$D$55))</f>
        <v/>
      </c>
    </row>
    <row r="48" customFormat="false" ht="15" hidden="false" customHeight="false" outlineLevel="0" collapsed="false">
      <c r="A48" s="25" t="n">
        <v>40</v>
      </c>
      <c r="B48" s="7" t="s">
        <v>139</v>
      </c>
      <c r="C48" s="7" t="s">
        <v>113</v>
      </c>
      <c r="D48" s="26"/>
      <c r="E48" s="25" t="str">
        <f aca="false">IF($D48="","",RANK($D48,$D$9:$D$55,0))</f>
        <v/>
      </c>
      <c r="F48" s="25" t="str">
        <f aca="false">IF($D48="","",RANK($D48,$D$9:$D$55,1))</f>
        <v/>
      </c>
      <c r="G48" s="27" t="str">
        <f aca="false">IF(OR($D48="",COUNT($D$9:$D$55)=0),"",$D48-AVERAGE($D$9:$D$55))</f>
        <v/>
      </c>
    </row>
    <row r="49" customFormat="false" ht="15" hidden="false" customHeight="false" outlineLevel="0" collapsed="false">
      <c r="A49" s="25" t="n">
        <v>41</v>
      </c>
      <c r="B49" s="7" t="s">
        <v>140</v>
      </c>
      <c r="C49" s="7" t="s">
        <v>113</v>
      </c>
      <c r="D49" s="26"/>
      <c r="E49" s="25" t="str">
        <f aca="false">IF($D49="","",RANK($D49,$D$9:$D$55,0))</f>
        <v/>
      </c>
      <c r="F49" s="25" t="str">
        <f aca="false">IF($D49="","",RANK($D49,$D$9:$D$55,1))</f>
        <v/>
      </c>
      <c r="G49" s="27" t="str">
        <f aca="false">IF(OR($D49="",COUNT($D$9:$D$55)=0),"",$D49-AVERAGE($D$9:$D$55))</f>
        <v/>
      </c>
    </row>
    <row r="50" customFormat="false" ht="15" hidden="false" customHeight="false" outlineLevel="0" collapsed="false">
      <c r="A50" s="25" t="n">
        <v>42</v>
      </c>
      <c r="B50" s="7" t="s">
        <v>141</v>
      </c>
      <c r="C50" s="7" t="s">
        <v>113</v>
      </c>
      <c r="D50" s="26"/>
      <c r="E50" s="25" t="str">
        <f aca="false">IF($D50="","",RANK($D50,$D$9:$D$55,0))</f>
        <v/>
      </c>
      <c r="F50" s="25" t="str">
        <f aca="false">IF($D50="","",RANK($D50,$D$9:$D$55,1))</f>
        <v/>
      </c>
      <c r="G50" s="27" t="str">
        <f aca="false">IF(OR($D50="",COUNT($D$9:$D$55)=0),"",$D50-AVERAGE($D$9:$D$55))</f>
        <v/>
      </c>
    </row>
    <row r="51" customFormat="false" ht="15" hidden="false" customHeight="false" outlineLevel="0" collapsed="false">
      <c r="A51" s="25" t="n">
        <v>43</v>
      </c>
      <c r="B51" s="7" t="s">
        <v>142</v>
      </c>
      <c r="C51" s="7" t="s">
        <v>113</v>
      </c>
      <c r="D51" s="26"/>
      <c r="E51" s="25" t="str">
        <f aca="false">IF($D51="","",RANK($D51,$D$9:$D$55,0))</f>
        <v/>
      </c>
      <c r="F51" s="25" t="str">
        <f aca="false">IF($D51="","",RANK($D51,$D$9:$D$55,1))</f>
        <v/>
      </c>
      <c r="G51" s="27" t="str">
        <f aca="false">IF(OR($D51="",COUNT($D$9:$D$55)=0),"",$D51-AVERAGE($D$9:$D$55))</f>
        <v/>
      </c>
    </row>
    <row r="52" customFormat="false" ht="15" hidden="false" customHeight="false" outlineLevel="0" collapsed="false">
      <c r="A52" s="25" t="n">
        <v>44</v>
      </c>
      <c r="B52" s="7" t="s">
        <v>143</v>
      </c>
      <c r="C52" s="7" t="s">
        <v>113</v>
      </c>
      <c r="D52" s="26"/>
      <c r="E52" s="25" t="str">
        <f aca="false">IF($D52="","",RANK($D52,$D$9:$D$55,0))</f>
        <v/>
      </c>
      <c r="F52" s="25" t="str">
        <f aca="false">IF($D52="","",RANK($D52,$D$9:$D$55,1))</f>
        <v/>
      </c>
      <c r="G52" s="27" t="str">
        <f aca="false">IF(OR($D52="",COUNT($D$9:$D$55)=0),"",$D52-AVERAGE($D$9:$D$55))</f>
        <v/>
      </c>
    </row>
    <row r="53" customFormat="false" ht="15" hidden="false" customHeight="false" outlineLevel="0" collapsed="false">
      <c r="A53" s="25" t="n">
        <v>45</v>
      </c>
      <c r="B53" s="7" t="s">
        <v>144</v>
      </c>
      <c r="C53" s="7" t="s">
        <v>113</v>
      </c>
      <c r="D53" s="26"/>
      <c r="E53" s="25" t="str">
        <f aca="false">IF($D53="","",RANK($D53,$D$9:$D$55,0))</f>
        <v/>
      </c>
      <c r="F53" s="25" t="str">
        <f aca="false">IF($D53="","",RANK($D53,$D$9:$D$55,1))</f>
        <v/>
      </c>
      <c r="G53" s="27" t="str">
        <f aca="false">IF(OR($D53="",COUNT($D$9:$D$55)=0),"",$D53-AVERAGE($D$9:$D$55))</f>
        <v/>
      </c>
    </row>
    <row r="54" customFormat="false" ht="15" hidden="false" customHeight="false" outlineLevel="0" collapsed="false">
      <c r="A54" s="25" t="n">
        <v>46</v>
      </c>
      <c r="B54" s="7" t="s">
        <v>145</v>
      </c>
      <c r="C54" s="7" t="s">
        <v>113</v>
      </c>
      <c r="D54" s="26"/>
      <c r="E54" s="25" t="str">
        <f aca="false">IF($D54="","",RANK($D54,$D$9:$D$55,0))</f>
        <v/>
      </c>
      <c r="F54" s="25" t="str">
        <f aca="false">IF($D54="","",RANK($D54,$D$9:$D$55,1))</f>
        <v/>
      </c>
      <c r="G54" s="27" t="str">
        <f aca="false">IF(OR($D54="",COUNT($D$9:$D$55)=0),"",$D54-AVERAGE($D$9:$D$55))</f>
        <v/>
      </c>
    </row>
    <row r="55" customFormat="false" ht="15" hidden="false" customHeight="false" outlineLevel="0" collapsed="false">
      <c r="A55" s="25" t="n">
        <v>47</v>
      </c>
      <c r="B55" s="7" t="s">
        <v>146</v>
      </c>
      <c r="C55" s="7" t="s">
        <v>113</v>
      </c>
      <c r="D55" s="26"/>
      <c r="E55" s="25" t="str">
        <f aca="false">IF($D55="","",RANK($D55,$D$9:$D$55,0))</f>
        <v/>
      </c>
      <c r="F55" s="25" t="str">
        <f aca="false">IF($D55="","",RANK($D55,$D$9:$D$55,1))</f>
        <v/>
      </c>
      <c r="G55" s="27" t="str">
        <f aca="false">IF(OR($D55="",COUNT($D$9:$D$55)=0),"",$D55-AVERAGE($D$9:$D$55))</f>
        <v/>
      </c>
    </row>
  </sheetData>
  <mergeCells count="5">
    <mergeCell ref="B3:G3"/>
    <mergeCell ref="B4:G4"/>
    <mergeCell ref="B5:G5"/>
    <mergeCell ref="B6:G6"/>
    <mergeCell ref="I14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2026-10-27T22:51:51Z</dcterms:created>
  <dc:creator>openpyxl</dc:creator>
  <dc:description/>
  <dc:language>en-US</dc:language>
  <cp:lastModifiedBy/>
  <dcterms:modified xsi:type="dcterms:W3CDTF">2026-10-27T22:51:51Z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